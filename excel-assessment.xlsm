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82b6b22b1f0b1bc/Documents/GitHub/MapUp-Data-Assessment-F/"/>
    </mc:Choice>
  </mc:AlternateContent>
  <xr:revisionPtr revIDLastSave="0" documentId="8_{07C3139A-BF44-44C9-81E8-E409CCCE4EE0}" xr6:coauthVersionLast="36" xr6:coauthVersionMax="36" xr10:uidLastSave="{00000000-0000-0000-0000-000000000000}"/>
  <bookViews>
    <workbookView xWindow="0" yWindow="504" windowWidth="29400" windowHeight="162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E14" i="19" l="1"/>
  <c r="C22" i="19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C16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F30" i="18"/>
  <c r="E30" i="18"/>
  <c r="D30" i="18"/>
  <c r="C30" i="18"/>
  <c r="B30" i="18"/>
  <c r="F29" i="18"/>
  <c r="E29" i="18"/>
  <c r="D29" i="18"/>
  <c r="C29" i="18"/>
  <c r="F28" i="18"/>
  <c r="E28" i="18"/>
  <c r="D28" i="18"/>
  <c r="C28" i="18"/>
  <c r="B29" i="18"/>
  <c r="B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6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D6" i="18"/>
  <c r="D9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8" i="18"/>
  <c r="D7" i="18"/>
  <c r="C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B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H41" i="1"/>
</calcChain>
</file>

<file path=xl/sharedStrings.xml><?xml version="1.0" encoding="utf-8"?>
<sst xmlns="http://schemas.openxmlformats.org/spreadsheetml/2006/main" count="328" uniqueCount="183">
  <si>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</si>
  <si>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</si>
  <si>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</si>
  <si>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</si>
  <si>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</si>
  <si>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</si>
  <si>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</si>
  <si>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</si>
  <si>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</si>
  <si>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</si>
  <si>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</si>
  <si>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</si>
  <si>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</si>
  <si>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</si>
  <si>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</si>
  <si>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</si>
  <si>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</si>
  <si>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</si>
  <si>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</si>
  <si>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</si>
  <si>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</si>
  <si>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</si>
  <si>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</si>
  <si>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</si>
  <si>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</si>
  <si>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</si>
  <si>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</si>
  <si>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</si>
  <si>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</si>
  <si>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</si>
  <si>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</si>
  <si>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</si>
  <si>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</si>
  <si>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</si>
  <si>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</si>
  <si>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</si>
  <si>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</si>
  <si>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</si>
  <si>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</si>
  <si>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</si>
  <si>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</si>
  <si>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</si>
  <si>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</si>
  <si>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</si>
  <si>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</si>
  <si>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</si>
  <si>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</si>
  <si>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</si>
  <si>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</si>
  <si>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</si>
  <si>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</si>
  <si>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</si>
  <si>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</si>
  <si>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</si>
  <si>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</si>
  <si>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</si>
  <si>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</si>
  <si>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</si>
  <si>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</si>
  <si>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</si>
  <si>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</si>
  <si>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</si>
  <si>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</si>
  <si>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</si>
  <si>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</si>
  <si>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</si>
  <si>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</si>
  <si>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</si>
  <si>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</si>
  <si>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</si>
  <si>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</si>
  <si>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</si>
  <si>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</si>
  <si>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</si>
  <si>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</si>
  <si>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</si>
  <si>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</si>
  <si>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</si>
  <si>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</si>
  <si>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</si>
  <si>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</si>
  <si>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</si>
  <si>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</si>
  <si>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</si>
  <si>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</si>
  <si>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</si>
  <si>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</si>
  <si>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</si>
  <si>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</si>
  <si>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</si>
  <si>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</si>
  <si>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</si>
  <si>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</si>
  <si>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</si>
  <si>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</si>
  <si>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</si>
  <si>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</si>
  <si>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</si>
  <si>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</si>
  <si>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</si>
  <si>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</si>
  <si>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</si>
  <si>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</si>
  <si>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</si>
  <si>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</si>
  <si>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</si>
  <si>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</si>
  <si>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</si>
  <si>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</si>
  <si>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</si>
  <si>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</si>
  <si>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</si>
  <si>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</si>
  <si>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</si>
  <si>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</si>
  <si>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</si>
  <si>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</si>
  <si>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</si>
  <si>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</si>
  <si>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</si>
  <si>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</si>
  <si>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</si>
  <si>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</si>
  <si>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</si>
  <si>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</si>
  <si>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</si>
  <si>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</si>
  <si>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</si>
  <si>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</si>
  <si>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</si>
  <si>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</si>
  <si>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</si>
  <si>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</si>
  <si>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</si>
  <si>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</si>
  <si>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</si>
  <si>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</si>
  <si>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</si>
  <si>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</si>
  <si>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</si>
  <si>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</si>
  <si>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</si>
  <si>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</si>
  <si>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</si>
  <si>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</si>
  <si>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</si>
  <si>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</si>
  <si>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</si>
  <si>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</si>
  <si>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</si>
  <si>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</si>
  <si>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</si>
  <si>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</si>
  <si>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</si>
  <si>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</si>
  <si>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</si>
  <si>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</si>
  <si>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</si>
  <si>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</si>
  <si>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</si>
  <si>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</si>
  <si>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</si>
  <si>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</si>
  <si>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</si>
  <si>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</si>
  <si>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</si>
  <si>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</si>
  <si>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</si>
  <si>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</si>
  <si>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</si>
  <si>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</si>
  <si>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</si>
  <si>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</si>
  <si>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</si>
  <si>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</si>
  <si>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</si>
  <si>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</si>
  <si>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</si>
  <si>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sumif(H2:H20,"&gt;20",H2:H20)</t>
  </si>
  <si>
    <t>REPLACE("#N/A",1,4,"20")</t>
  </si>
  <si>
    <t>We are using replace fundtionn to replace #N/A then we are getting 20 but in text formatting so converting it in num formating using paste special function.</t>
  </si>
  <si>
    <t>Here we can use three function that is LEFT, RIGHT AND MID FUNCTION as per situation.</t>
  </si>
  <si>
    <t>By using above formula we can get the output in desired columns also we can use text to column function in data tab to make the process short.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</si>
</sst>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dd/mm/yyyy"/>
    <numFmt numFmtId="168" formatCode="yyyy\-mm\-dd;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4" fillId="6" borderId="0" xfId="0" applyFont="1" applyFill="1"/>
    <xf numFmtId="164" fontId="4" fillId="6" borderId="0" xfId="0" applyNumberFormat="1" applyFont="1" applyFill="1"/>
    <xf numFmtId="0" fontId="7" fillId="6" borderId="0" xfId="0" applyFont="1" applyFill="1"/>
    <xf numFmtId="168" fontId="3" fillId="0" borderId="0" xfId="0" applyNumberFormat="1" applyFont="1"/>
    <xf numFmtId="0" fontId="2" fillId="0" borderId="1" xfId="0" applyFont="1" applyBorder="1"/>
    <xf numFmtId="0" fontId="8" fillId="0" borderId="0" xfId="0" applyNumberFormat="1" applyFont="1"/>
    <xf numFmtId="0" fontId="9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19" sqref="D1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3" t="s">
        <v>172</v>
      </c>
      <c r="B9" s="24" t="s">
        <v>170</v>
      </c>
    </row>
    <row r="10" spans="1:3" x14ac:dyDescent="0.3">
      <c r="A10" s="32" t="s">
        <v>173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171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="65" zoomScaleNormal="100" workbookViewId="0">
      <pane ySplit="1" topLeftCell="A2" activePane="bottomLeft" state="frozen"/>
      <selection activeCell="B1" sqref="B1"/>
      <selection pane="bottomLeft" activeCell="S39" sqref="S3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43" t="s">
        <v>64</v>
      </c>
      <c r="B1" s="43" t="s">
        <v>43</v>
      </c>
      <c r="C1" s="43" t="s">
        <v>0</v>
      </c>
      <c r="D1" s="44" t="s">
        <v>1</v>
      </c>
      <c r="E1" s="43" t="s">
        <v>2</v>
      </c>
      <c r="F1" s="44" t="s">
        <v>3</v>
      </c>
      <c r="G1" s="26" t="s">
        <v>79</v>
      </c>
      <c r="H1" s="26" t="s">
        <v>65</v>
      </c>
      <c r="I1" s="26" t="s">
        <v>66</v>
      </c>
      <c r="J1" s="27" t="s">
        <v>67</v>
      </c>
      <c r="K1" s="27" t="s">
        <v>68</v>
      </c>
      <c r="L1" s="27" t="s">
        <v>69</v>
      </c>
      <c r="M1" s="26" t="s">
        <v>70</v>
      </c>
      <c r="N1" s="26" t="s">
        <v>71</v>
      </c>
      <c r="O1" s="26" t="s">
        <v>72</v>
      </c>
      <c r="P1" s="27" t="s">
        <v>73</v>
      </c>
      <c r="Q1" s="27" t="s">
        <v>74</v>
      </c>
      <c r="R1" s="27" t="s">
        <v>75</v>
      </c>
      <c r="S1" s="26" t="s">
        <v>80</v>
      </c>
      <c r="T1" s="26" t="s">
        <v>76</v>
      </c>
      <c r="U1" s="27" t="s">
        <v>81</v>
      </c>
      <c r="V1" s="27" t="s">
        <v>77</v>
      </c>
      <c r="W1" s="27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45">
        <f>SUMIF(H2:H40,"&gt;20",H2:H40)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6" sqref="D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105</v>
      </c>
      <c r="D5" s="1" t="s">
        <v>178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D24" sqref="D2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165</v>
      </c>
    </row>
    <row r="2" spans="1:7" s="38" customFormat="1" ht="21" x14ac:dyDescent="0.4">
      <c r="B2" s="38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163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VLOOKUP(Task_2!A6,Dataset!A2:X40,7,)</f>
        <v>2.7</v>
      </c>
      <c r="C6" s="10">
        <f>VLOOKUP(Task_2!A6,Dataset!A2:X40,14,)</f>
        <v>7.6</v>
      </c>
      <c r="D6" s="10">
        <f>VLOOKUP(Task_2!A6,Dataset!A2:X40,18,)</f>
        <v>4.2</v>
      </c>
      <c r="E6" s="10">
        <f>VLOOKUP(Task_2!A6,Dataset!A2:X40,20,0)</f>
        <v>8.9</v>
      </c>
      <c r="F6" s="10">
        <f>VLOOKUP(Task_2!A6,Dataset!A2:X40,22,)</f>
        <v>4.2</v>
      </c>
    </row>
    <row r="7" spans="1:7" ht="14.4" x14ac:dyDescent="0.3">
      <c r="A7" s="7" t="s">
        <v>4</v>
      </c>
      <c r="B7" s="10">
        <f>VLOOKUP(Task_2!A7,Dataset!A3:X41,7,)</f>
        <v>2.7</v>
      </c>
      <c r="C7" s="10">
        <f>VLOOKUP(Task_2!A7,Dataset!A3:X41,14,)</f>
        <v>7.6</v>
      </c>
      <c r="D7" s="10">
        <f>VLOOKUP(Task_2!A7,Dataset!A3:X41,18,)</f>
        <v>4.2</v>
      </c>
      <c r="E7" s="10">
        <f>VLOOKUP(Task_2!A7,Dataset!A3:X41,20,0)</f>
        <v>8.9</v>
      </c>
      <c r="F7" s="10">
        <f>VLOOKUP(Task_2!A7,Dataset!A3:X41,22,)</f>
        <v>4.2</v>
      </c>
    </row>
    <row r="8" spans="1:7" ht="14.4" x14ac:dyDescent="0.3">
      <c r="A8" s="7" t="s">
        <v>7</v>
      </c>
      <c r="B8" s="10">
        <f>VLOOKUP(Task_2!A8,Dataset!A4:X42,7,)</f>
        <v>3.6</v>
      </c>
      <c r="C8" s="10">
        <f>VLOOKUP(Task_2!A8,Dataset!A4:X42,14,)</f>
        <v>11.1</v>
      </c>
      <c r="D8" s="10">
        <f>VLOOKUP(Task_2!A8,Dataset!A4:X42,18,)</f>
        <v>5.8</v>
      </c>
      <c r="E8" s="10">
        <f>VLOOKUP(Task_2!A8,Dataset!A4:X42,20,0)</f>
        <v>12.2</v>
      </c>
      <c r="F8" s="10">
        <f>VLOOKUP(Task_2!A8,Dataset!A4:X42,22,)</f>
        <v>5.8</v>
      </c>
    </row>
    <row r="9" spans="1:7" ht="14.4" x14ac:dyDescent="0.3">
      <c r="A9" s="7" t="s">
        <v>8</v>
      </c>
      <c r="B9" s="10">
        <f>VLOOKUP(Task_2!A9,Dataset!A5:X43,7,)</f>
        <v>4.9000000000000004</v>
      </c>
      <c r="C9" s="10">
        <f>VLOOKUP(Task_2!A9,Dataset!A5:X43,14,)</f>
        <v>13.3</v>
      </c>
      <c r="D9" s="10">
        <f>VLOOKUP(Task_2!A9,Dataset!A5:X43,18,)</f>
        <v>8.1</v>
      </c>
      <c r="E9" s="10">
        <f>VLOOKUP(Task_2!A9,Dataset!A5:X43,20,0)</f>
        <v>17</v>
      </c>
      <c r="F9" s="10">
        <f>VLOOKUP(Task_2!A9,Dataset!A5:X43,22,)</f>
        <v>8.1</v>
      </c>
    </row>
    <row r="10" spans="1:7" ht="14.4" x14ac:dyDescent="0.3">
      <c r="A10" s="7" t="s">
        <v>11</v>
      </c>
      <c r="B10" s="10">
        <f>VLOOKUP(Task_2!A10,Dataset!A6:X44,7,)</f>
        <v>9.4</v>
      </c>
      <c r="C10" s="10">
        <f>VLOOKUP(Task_2!A10,Dataset!A6:X44,14,)</f>
        <v>28.3</v>
      </c>
      <c r="D10" s="10">
        <f>VLOOKUP(Task_2!A10,Dataset!A6:X44,18,)</f>
        <v>16.100000000000001</v>
      </c>
      <c r="E10" s="10">
        <f>VLOOKUP(Task_2!A10,Dataset!A6:X44,20,0)</f>
        <v>32.799999999999997</v>
      </c>
      <c r="F10" s="10">
        <f>VLOOKUP(Task_2!A10,Dataset!A6:X44,22,)</f>
        <v>16.100000000000001</v>
      </c>
    </row>
    <row r="11" spans="1:7" ht="14.4" x14ac:dyDescent="0.3">
      <c r="A11" s="7" t="s">
        <v>12</v>
      </c>
      <c r="B11" s="10">
        <f>VLOOKUP(Task_2!A11,Dataset!A7:X45,7,)</f>
        <v>11.6</v>
      </c>
      <c r="C11" s="10">
        <f>VLOOKUP(Task_2!A11,Dataset!A7:X45,14,)</f>
        <v>35.200000000000003</v>
      </c>
      <c r="D11" s="10">
        <f>VLOOKUP(Task_2!A11,Dataset!A7:X45,18,)</f>
        <v>21.3</v>
      </c>
      <c r="E11" s="10">
        <f>VLOOKUP(Task_2!A11,Dataset!A7:X45,20,0)</f>
        <v>43</v>
      </c>
      <c r="F11" s="10">
        <f>VLOOKUP(Task_2!A11,Dataset!A7:X45,22,)</f>
        <v>21.3</v>
      </c>
    </row>
    <row r="12" spans="1:7" ht="14.4" x14ac:dyDescent="0.3">
      <c r="A12" s="7" t="s">
        <v>14</v>
      </c>
      <c r="B12" s="10">
        <f>VLOOKUP(Task_2!A12,Dataset!A8:X46,7,)</f>
        <v>18.399999999999999</v>
      </c>
      <c r="C12" s="10">
        <f>VLOOKUP(Task_2!A12,Dataset!A8:X46,14,)</f>
        <v>55.6</v>
      </c>
      <c r="D12" s="10">
        <f>VLOOKUP(Task_2!A12,Dataset!A8:X46,18,)</f>
        <v>33.799999999999997</v>
      </c>
      <c r="E12" s="10">
        <f>VLOOKUP(Task_2!A12,Dataset!A8:X46,20,0)</f>
        <v>67.900000000000006</v>
      </c>
      <c r="F12" s="10">
        <f>VLOOKUP(Task_2!A12,Dataset!A8:X46,22,)</f>
        <v>33.799999999999997</v>
      </c>
    </row>
    <row r="13" spans="1:7" ht="14.4" x14ac:dyDescent="0.3">
      <c r="A13" s="7" t="s">
        <v>15</v>
      </c>
      <c r="B13" s="10">
        <f>VLOOKUP(Task_2!A13,Dataset!A9:X47,7,)</f>
        <v>0</v>
      </c>
      <c r="C13" s="10">
        <f>VLOOKUP(Task_2!A13,Dataset!A9:X47,14,)</f>
        <v>0</v>
      </c>
      <c r="D13" s="10">
        <f>VLOOKUP(Task_2!A13,Dataset!A9:X47,18,)</f>
        <v>0</v>
      </c>
      <c r="E13" s="10">
        <f>VLOOKUP(Task_2!A13,Dataset!A9:X47,20,0)</f>
        <v>0</v>
      </c>
      <c r="F13" s="10">
        <f>VLOOKUP(Task_2!A13,Dataset!A9:X47,22,)</f>
        <v>0</v>
      </c>
    </row>
    <row r="14" spans="1:7" ht="14.4" x14ac:dyDescent="0.3">
      <c r="A14" s="7" t="s">
        <v>16</v>
      </c>
      <c r="B14" s="10">
        <f>VLOOKUP(Task_2!A14,Dataset!A10:X48,7,)</f>
        <v>21.9</v>
      </c>
      <c r="C14" s="10">
        <f>VLOOKUP(Task_2!A14,Dataset!A10:X48,14,)</f>
        <v>61.5</v>
      </c>
      <c r="D14" s="10">
        <f>VLOOKUP(Task_2!A14,Dataset!A10:X48,18,)</f>
        <v>40.1</v>
      </c>
      <c r="E14" s="10">
        <f>VLOOKUP(Task_2!A14,Dataset!A10:X48,20,0)</f>
        <v>76.599999999999994</v>
      </c>
      <c r="F14" s="10">
        <f>VLOOKUP(Task_2!A14,Dataset!A10:X48,22,)</f>
        <v>40.1</v>
      </c>
    </row>
    <row r="15" spans="1:7" ht="14.4" x14ac:dyDescent="0.3">
      <c r="A15" s="7" t="s">
        <v>18</v>
      </c>
      <c r="B15" s="10">
        <f>VLOOKUP(Task_2!A15,Dataset!A11:X49,7,)</f>
        <v>26.8</v>
      </c>
      <c r="C15" s="10">
        <f>VLOOKUP(Task_2!A15,Dataset!A11:X49,14,)</f>
        <v>79.599999999999994</v>
      </c>
      <c r="D15" s="10">
        <f>VLOOKUP(Task_2!A15,Dataset!A11:X49,18,)</f>
        <v>47.9</v>
      </c>
      <c r="E15" s="10">
        <f>VLOOKUP(Task_2!A15,Dataset!A11:X49,20,0)</f>
        <v>96.8</v>
      </c>
      <c r="F15" s="10">
        <f>VLOOKUP(Task_2!A15,Dataset!A11:X49,22,)</f>
        <v>47.9</v>
      </c>
    </row>
    <row r="16" spans="1:7" ht="14.4" x14ac:dyDescent="0.3">
      <c r="A16" s="7" t="s">
        <v>20</v>
      </c>
      <c r="B16" s="10">
        <f>VLOOKUP(Task_2!A16,Dataset!A12:X50,7,)</f>
        <v>28.5</v>
      </c>
      <c r="C16" s="10">
        <f>VLOOKUP(Task_2!A16,Dataset!A12:X50,14,)</f>
        <v>85.4</v>
      </c>
      <c r="D16" s="10">
        <f>VLOOKUP(Task_2!A16,Dataset!A12:X50,18,)</f>
        <v>52.3</v>
      </c>
      <c r="E16" s="10">
        <f>VLOOKUP(Task_2!A16,Dataset!A12:X50,20,0)</f>
        <v>106.1</v>
      </c>
      <c r="F16" s="10">
        <f>VLOOKUP(Task_2!A16,Dataset!A12:X50,22,)</f>
        <v>52.3</v>
      </c>
    </row>
    <row r="17" spans="1:6" ht="14.4" x14ac:dyDescent="0.3">
      <c r="A17" s="7" t="s">
        <v>22</v>
      </c>
      <c r="B17" s="10">
        <f>VLOOKUP(Task_2!A17,Dataset!A13:X51,7,)</f>
        <v>30.7</v>
      </c>
      <c r="C17" s="10">
        <f>VLOOKUP(Task_2!A17,Dataset!A13:X51,14,)</f>
        <v>92.1</v>
      </c>
      <c r="D17" s="10">
        <f>VLOOKUP(Task_2!A17,Dataset!A13:X51,18,)</f>
        <v>57</v>
      </c>
      <c r="E17" s="10">
        <f>VLOOKUP(Task_2!A17,Dataset!A13:X51,20,0)</f>
        <v>115.1</v>
      </c>
      <c r="F17" s="10">
        <f>VLOOKUP(Task_2!A17,Dataset!A13:X51,22,)</f>
        <v>57</v>
      </c>
    </row>
    <row r="18" spans="1:6" ht="14.4" x14ac:dyDescent="0.3">
      <c r="A18" s="7" t="s">
        <v>23</v>
      </c>
      <c r="B18" s="10">
        <f>VLOOKUP(Task_2!A18,Dataset!A14:X52,7,)</f>
        <v>33.799999999999997</v>
      </c>
      <c r="C18" s="10">
        <f>VLOOKUP(Task_2!A18,Dataset!A14:X52,14,)</f>
        <v>101.3</v>
      </c>
      <c r="D18" s="10">
        <f>VLOOKUP(Task_2!A18,Dataset!A14:X52,18,)</f>
        <v>61.4</v>
      </c>
      <c r="E18" s="10">
        <f>VLOOKUP(Task_2!A18,Dataset!A14:X52,20,0)</f>
        <v>124.4</v>
      </c>
      <c r="F18" s="10">
        <f>VLOOKUP(Task_2!A18,Dataset!A14:X52,22,)</f>
        <v>61.4</v>
      </c>
    </row>
    <row r="19" spans="1:6" ht="14.4" x14ac:dyDescent="0.3">
      <c r="A19" s="7" t="s">
        <v>24</v>
      </c>
      <c r="B19" s="10">
        <f>VLOOKUP(Task_2!A19,Dataset!A15:X53,7,)</f>
        <v>34.700000000000003</v>
      </c>
      <c r="C19" s="10">
        <f>VLOOKUP(Task_2!A19,Dataset!A15:X53,14,)</f>
        <v>106.1</v>
      </c>
      <c r="D19" s="10">
        <f>VLOOKUP(Task_2!A19,Dataset!A15:X53,18,)</f>
        <v>63.6</v>
      </c>
      <c r="E19" s="10">
        <f>VLOOKUP(Task_2!A19,Dataset!A15:X53,20,0)</f>
        <v>128.6</v>
      </c>
      <c r="F19" s="10">
        <f>VLOOKUP(Task_2!A19,Dataset!A15:X53,22,)</f>
        <v>63.6</v>
      </c>
    </row>
    <row r="20" spans="1:6" ht="14.4" x14ac:dyDescent="0.3">
      <c r="A20" s="7" t="s">
        <v>28</v>
      </c>
      <c r="B20" s="10">
        <f>VLOOKUP(Task_2!A20,Dataset!A16:X54,7,)</f>
        <v>0</v>
      </c>
      <c r="C20" s="10">
        <f>VLOOKUP(Task_2!A20,Dataset!A16:X54,14,)</f>
        <v>0</v>
      </c>
      <c r="D20" s="10">
        <f>VLOOKUP(Task_2!A20,Dataset!A16:X54,18,)</f>
        <v>0</v>
      </c>
      <c r="E20" s="10">
        <f>VLOOKUP(Task_2!A20,Dataset!A16:X54,20,0)</f>
        <v>0</v>
      </c>
      <c r="F20" s="10">
        <f>VLOOKUP(Task_2!A20,Dataset!A16:X54,22,)</f>
        <v>0</v>
      </c>
    </row>
    <row r="21" spans="1:6" ht="14.4" x14ac:dyDescent="0.3">
      <c r="A21" s="7" t="s">
        <v>57</v>
      </c>
      <c r="B21" s="10">
        <f>VLOOKUP(Task_2!A21,Dataset!A17:X55,7,)</f>
        <v>41.3</v>
      </c>
      <c r="C21" s="10">
        <f>VLOOKUP(Task_2!A21,Dataset!A17:X55,14,)</f>
        <v>124.4</v>
      </c>
      <c r="D21" s="10">
        <f>VLOOKUP(Task_2!A21,Dataset!A17:X55,18,)</f>
        <v>75</v>
      </c>
      <c r="E21" s="10">
        <f>VLOOKUP(Task_2!A21,Dataset!A17:X55,20,0)</f>
        <v>151.5</v>
      </c>
      <c r="F21" s="10">
        <f>VLOOKUP(Task_2!A21,Dataset!A17:X55,22,)</f>
        <v>75</v>
      </c>
    </row>
    <row r="22" spans="1:6" ht="14.4" x14ac:dyDescent="0.3">
      <c r="A22" s="7" t="s">
        <v>58</v>
      </c>
      <c r="B22" s="10">
        <f>VLOOKUP(Task_2!A22,Dataset!A18:X56,7,)</f>
        <v>-1</v>
      </c>
      <c r="C22" s="10">
        <f>VLOOKUP(Task_2!A22,Dataset!A18:X56,14,)</f>
        <v>-1</v>
      </c>
      <c r="D22" s="10">
        <f>VLOOKUP(Task_2!A22,Dataset!A18:X56,18,)</f>
        <v>-1</v>
      </c>
      <c r="E22" s="10">
        <f>VLOOKUP(Task_2!A22,Dataset!A18:X56,20,0)</f>
        <v>-1</v>
      </c>
      <c r="F22" s="10">
        <f>VLOOKUP(Task_2!A22,Dataset!A18:X56,22,)</f>
        <v>-1</v>
      </c>
    </row>
    <row r="23" spans="1:6" ht="14.4" x14ac:dyDescent="0.3">
      <c r="A23" s="7" t="s">
        <v>31</v>
      </c>
      <c r="B23" s="10">
        <f>VLOOKUP(Task_2!A23,Dataset!A19:X57,7,)</f>
        <v>45</v>
      </c>
      <c r="C23" s="10">
        <f>VLOOKUP(Task_2!A23,Dataset!A19:X57,14,)</f>
        <v>133.4</v>
      </c>
      <c r="D23" s="10">
        <f>VLOOKUP(Task_2!A23,Dataset!A19:X57,18,)</f>
        <v>79.400000000000006</v>
      </c>
      <c r="E23" s="10">
        <f>VLOOKUP(Task_2!A23,Dataset!A19:X57,20,0)</f>
        <v>160.9</v>
      </c>
      <c r="F23" s="10">
        <f>VLOOKUP(Task_2!A23,Dataset!A19:X57,22,)</f>
        <v>79.400000000000006</v>
      </c>
    </row>
    <row r="24" spans="1:6" ht="14.4" x14ac:dyDescent="0.3">
      <c r="A24" s="7" t="s">
        <v>32</v>
      </c>
      <c r="B24" s="10">
        <f>VLOOKUP(Task_2!A24,Dataset!A20:X58,7,)</f>
        <v>-1</v>
      </c>
      <c r="C24" s="10">
        <f>VLOOKUP(Task_2!A24,Dataset!A20:X58,14,)</f>
        <v>-1</v>
      </c>
      <c r="D24" s="10">
        <f>VLOOKUP(Task_2!A24,Dataset!A20:X58,18,)</f>
        <v>-1</v>
      </c>
      <c r="E24" s="10">
        <f>VLOOKUP(Task_2!A24,Dataset!A20:X58,20,0)</f>
        <v>-1</v>
      </c>
      <c r="F24" s="10">
        <f>VLOOKUP(Task_2!A24,Dataset!A20:X58,22,)</f>
        <v>-1</v>
      </c>
    </row>
    <row r="25" spans="1:6" ht="14.4" x14ac:dyDescent="0.3">
      <c r="A25" s="7" t="s">
        <v>34</v>
      </c>
      <c r="B25" s="10">
        <f>VLOOKUP(Task_2!A25,Dataset!A21:X59,7,)</f>
        <v>43.3</v>
      </c>
      <c r="C25" s="10">
        <f>VLOOKUP(Task_2!A25,Dataset!A21:X59,14,)</f>
        <v>128.6</v>
      </c>
      <c r="D25" s="10">
        <f>VLOOKUP(Task_2!A25,Dataset!A21:X59,18,)</f>
        <v>79.400000000000006</v>
      </c>
      <c r="E25" s="10">
        <f>VLOOKUP(Task_2!A25,Dataset!A21:X59,20,0)</f>
        <v>160.9</v>
      </c>
      <c r="F25" s="10">
        <f>VLOOKUP(Task_2!A25,Dataset!A21:X59,22,)</f>
        <v>79.400000000000006</v>
      </c>
    </row>
    <row r="26" spans="1:6" ht="14.4" x14ac:dyDescent="0.3">
      <c r="A26" s="7" t="s">
        <v>37</v>
      </c>
      <c r="B26" s="10">
        <f>VLOOKUP(Task_2!A26,Dataset!A22:X60,7,)</f>
        <v>49.1</v>
      </c>
      <c r="C26" s="10">
        <f>VLOOKUP(Task_2!A26,Dataset!A22:X60,14,)</f>
        <v>146.80000000000001</v>
      </c>
      <c r="D26" s="10">
        <f>VLOOKUP(Task_2!A26,Dataset!A22:X60,18,)</f>
        <v>90.9</v>
      </c>
      <c r="E26" s="10">
        <f>VLOOKUP(Task_2!A26,Dataset!A22:X60,20,0)</f>
        <v>183.5</v>
      </c>
      <c r="F26" s="10">
        <f>VLOOKUP(Task_2!A26,Dataset!A22:X60,22,)</f>
        <v>90.9</v>
      </c>
    </row>
    <row r="27" spans="1:6" ht="14.4" x14ac:dyDescent="0.3">
      <c r="A27" s="7" t="s">
        <v>39</v>
      </c>
      <c r="B27" s="10">
        <f>VLOOKUP(Task_2!A27,Dataset!A23:X61,7,)</f>
        <v>51.8</v>
      </c>
      <c r="C27" s="10">
        <f>VLOOKUP(Task_2!A27,Dataset!A23:X61,14,)</f>
        <v>156.4</v>
      </c>
      <c r="D27" s="10">
        <f>VLOOKUP(Task_2!A27,Dataset!A23:X61,18,)</f>
        <v>93.1</v>
      </c>
      <c r="E27" s="10">
        <f>VLOOKUP(Task_2!A27,Dataset!A23:X61,20,0)</f>
        <v>188.1</v>
      </c>
      <c r="F27" s="10">
        <f>VLOOKUP(Task_2!A27,Dataset!A23:X61,22,)</f>
        <v>93.1</v>
      </c>
    </row>
    <row r="28" spans="1:6" ht="14.4" x14ac:dyDescent="0.3">
      <c r="A28" s="17" t="s">
        <v>82</v>
      </c>
      <c r="B28" s="28">
        <f>MIN(B6:B27)</f>
        <v>-1</v>
      </c>
      <c r="C28" s="28">
        <f t="shared" ref="C28:F28" si="0">MIN(C6:C27)</f>
        <v>-1</v>
      </c>
      <c r="D28" s="28">
        <f t="shared" si="0"/>
        <v>-1</v>
      </c>
      <c r="E28" s="28">
        <f t="shared" si="0"/>
        <v>-1</v>
      </c>
      <c r="F28" s="28">
        <f t="shared" si="0"/>
        <v>-1</v>
      </c>
    </row>
    <row r="29" spans="1:6" ht="14.4" x14ac:dyDescent="0.3">
      <c r="A29" s="17" t="s">
        <v>83</v>
      </c>
      <c r="B29" s="28">
        <f>MAX(B6:B27)</f>
        <v>51.8</v>
      </c>
      <c r="C29" s="28">
        <f t="shared" ref="C29:F29" si="1">MAX(C6:C27)</f>
        <v>156.4</v>
      </c>
      <c r="D29" s="28">
        <f t="shared" si="1"/>
        <v>93.1</v>
      </c>
      <c r="E29" s="28">
        <f t="shared" si="1"/>
        <v>188.1</v>
      </c>
      <c r="F29" s="28">
        <f t="shared" si="1"/>
        <v>93.1</v>
      </c>
    </row>
    <row r="30" spans="1:6" ht="14.4" x14ac:dyDescent="0.3">
      <c r="A30" s="17" t="s">
        <v>84</v>
      </c>
      <c r="B30" s="28">
        <f>AVERAGE(B6:B27)</f>
        <v>20.827272727272728</v>
      </c>
      <c r="C30" s="28">
        <f t="shared" ref="C30:F30" si="2">AVERAGE(C6:C27)</f>
        <v>62.377272727272725</v>
      </c>
      <c r="D30" s="28">
        <f t="shared" si="2"/>
        <v>37.800000000000004</v>
      </c>
      <c r="E30" s="28">
        <f t="shared" si="2"/>
        <v>76.418181818181822</v>
      </c>
      <c r="F30" s="28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0" t="s">
        <v>53</v>
      </c>
      <c r="B5" s="37" t="s">
        <v>181</v>
      </c>
    </row>
    <row r="6" spans="1:10" ht="18" x14ac:dyDescent="0.35">
      <c r="A6" s="40" t="s">
        <v>154</v>
      </c>
      <c r="B6" s="37" t="s">
        <v>182</v>
      </c>
    </row>
    <row r="7" spans="1:10" ht="18" x14ac:dyDescent="0.35">
      <c r="A7" s="40"/>
      <c r="B7" s="37"/>
    </row>
    <row r="9" spans="1:10" ht="23.4" x14ac:dyDescent="0.45">
      <c r="A9" s="16" t="s">
        <v>166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163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122</v>
      </c>
      <c r="B16" s="10" t="str">
        <f>LEFT(A16,5)</f>
        <v>20000</v>
      </c>
      <c r="C16" s="1" t="str">
        <f>MID(A16,7,6)</f>
        <v>Monday</v>
      </c>
      <c r="D16" s="10" t="str">
        <f>MID(A16,14,1)</f>
        <v>0</v>
      </c>
      <c r="E16" s="1" t="str">
        <f>MID(A16,16,6)</f>
        <v>Sunday</v>
      </c>
      <c r="F16" s="1" t="str">
        <f>RIGHT(A16,2)</f>
        <v>24</v>
      </c>
    </row>
    <row r="17" spans="1:6" x14ac:dyDescent="0.3">
      <c r="A17" s="7" t="s">
        <v>123</v>
      </c>
      <c r="B17" s="10" t="str">
        <f t="shared" ref="B17:B54" si="0">LEFT(A17,5)</f>
        <v>20002</v>
      </c>
      <c r="C17" s="1" t="str">
        <f t="shared" ref="C17:C54" si="1">MID(A17,7,6)</f>
        <v>Monday</v>
      </c>
      <c r="D17" s="10" t="str">
        <f t="shared" ref="D17:D54" si="2">MID(A17,14,1)</f>
        <v>0</v>
      </c>
      <c r="E17" s="1" t="str">
        <f t="shared" ref="E17:E54" si="3">MID(A17,16,6)</f>
        <v>Sunday</v>
      </c>
      <c r="F17" s="1" t="str">
        <f t="shared" ref="F17:F54" si="4">RIGHT(A17,2)</f>
        <v>24</v>
      </c>
    </row>
    <row r="18" spans="1:6" x14ac:dyDescent="0.3">
      <c r="A18" s="7" t="s">
        <v>124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" t="str">
        <f t="shared" si="4"/>
        <v>24</v>
      </c>
    </row>
    <row r="19" spans="1:6" x14ac:dyDescent="0.3">
      <c r="A19" s="7" t="s">
        <v>125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" t="str">
        <f t="shared" si="4"/>
        <v>24</v>
      </c>
    </row>
    <row r="20" spans="1:6" x14ac:dyDescent="0.3">
      <c r="A20" s="7" t="s">
        <v>126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" t="str">
        <f t="shared" si="4"/>
        <v>24</v>
      </c>
    </row>
    <row r="21" spans="1:6" x14ac:dyDescent="0.3">
      <c r="A21" s="7" t="s">
        <v>127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" t="str">
        <f t="shared" si="4"/>
        <v>24</v>
      </c>
    </row>
    <row r="22" spans="1:6" x14ac:dyDescent="0.3">
      <c r="A22" s="7" t="s">
        <v>128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" t="str">
        <f t="shared" si="4"/>
        <v>24</v>
      </c>
    </row>
    <row r="23" spans="1:6" x14ac:dyDescent="0.3">
      <c r="A23" s="7" t="s">
        <v>129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" t="str">
        <f t="shared" si="4"/>
        <v>24</v>
      </c>
    </row>
    <row r="24" spans="1:6" x14ac:dyDescent="0.3">
      <c r="A24" s="7" t="s">
        <v>130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" t="str">
        <f t="shared" si="4"/>
        <v>24</v>
      </c>
    </row>
    <row r="25" spans="1:6" x14ac:dyDescent="0.3">
      <c r="A25" s="7" t="s">
        <v>131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" t="str">
        <f t="shared" si="4"/>
        <v>24</v>
      </c>
    </row>
    <row r="26" spans="1:6" x14ac:dyDescent="0.3">
      <c r="A26" s="7" t="s">
        <v>132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" t="str">
        <f t="shared" si="4"/>
        <v>24</v>
      </c>
    </row>
    <row r="27" spans="1:6" x14ac:dyDescent="0.3">
      <c r="A27" s="7" t="s">
        <v>133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" t="str">
        <f t="shared" si="4"/>
        <v>24</v>
      </c>
    </row>
    <row r="28" spans="1:6" x14ac:dyDescent="0.3">
      <c r="A28" s="7" t="s">
        <v>134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" t="str">
        <f t="shared" si="4"/>
        <v>24</v>
      </c>
    </row>
    <row r="29" spans="1:6" x14ac:dyDescent="0.3">
      <c r="A29" s="7" t="s">
        <v>135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" t="str">
        <f t="shared" si="4"/>
        <v>24</v>
      </c>
    </row>
    <row r="30" spans="1:6" x14ac:dyDescent="0.3">
      <c r="A30" s="7" t="s">
        <v>136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" t="str">
        <f t="shared" si="4"/>
        <v>24</v>
      </c>
    </row>
    <row r="31" spans="1:6" x14ac:dyDescent="0.3">
      <c r="A31" s="7" t="s">
        <v>137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" t="str">
        <f t="shared" si="4"/>
        <v>24</v>
      </c>
    </row>
    <row r="32" spans="1:6" x14ac:dyDescent="0.3">
      <c r="A32" s="7" t="s">
        <v>138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" t="str">
        <f t="shared" si="4"/>
        <v>24</v>
      </c>
    </row>
    <row r="33" spans="1:6" x14ac:dyDescent="0.3">
      <c r="A33" s="7" t="s">
        <v>139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" t="str">
        <f t="shared" si="4"/>
        <v>24</v>
      </c>
    </row>
    <row r="34" spans="1:6" x14ac:dyDescent="0.3">
      <c r="A34" s="7" t="s">
        <v>140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" t="str">
        <f t="shared" si="4"/>
        <v>24</v>
      </c>
    </row>
    <row r="35" spans="1:6" x14ac:dyDescent="0.3">
      <c r="A35" s="7" t="s">
        <v>141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" t="str">
        <f t="shared" si="4"/>
        <v>24</v>
      </c>
    </row>
    <row r="36" spans="1:6" x14ac:dyDescent="0.3">
      <c r="A36" s="7" t="s">
        <v>142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" t="str">
        <f t="shared" si="4"/>
        <v>24</v>
      </c>
    </row>
    <row r="37" spans="1:6" x14ac:dyDescent="0.3">
      <c r="A37" s="7" t="s">
        <v>143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" t="str">
        <f t="shared" si="4"/>
        <v>24</v>
      </c>
    </row>
    <row r="38" spans="1:6" x14ac:dyDescent="0.3">
      <c r="A38" s="7" t="s">
        <v>144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" t="str">
        <f t="shared" si="4"/>
        <v>24</v>
      </c>
    </row>
    <row r="39" spans="1:6" x14ac:dyDescent="0.3">
      <c r="A39" s="7" t="s">
        <v>145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" t="str">
        <f t="shared" si="4"/>
        <v>24</v>
      </c>
    </row>
    <row r="40" spans="1:6" x14ac:dyDescent="0.3">
      <c r="A40" s="7" t="s">
        <v>146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" t="str">
        <f t="shared" si="4"/>
        <v>24</v>
      </c>
    </row>
    <row r="41" spans="1:6" x14ac:dyDescent="0.3">
      <c r="A41" s="7" t="s">
        <v>147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" t="str">
        <f t="shared" si="4"/>
        <v>24</v>
      </c>
    </row>
    <row r="42" spans="1:6" x14ac:dyDescent="0.3">
      <c r="A42" s="7" t="s">
        <v>148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" t="str">
        <f t="shared" si="4"/>
        <v>24</v>
      </c>
    </row>
    <row r="43" spans="1:6" x14ac:dyDescent="0.3">
      <c r="A43" s="7" t="s">
        <v>149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" t="str">
        <f t="shared" si="4"/>
        <v>24</v>
      </c>
    </row>
    <row r="44" spans="1:6" x14ac:dyDescent="0.3">
      <c r="A44" s="7" t="s">
        <v>150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" t="str">
        <f t="shared" si="4"/>
        <v>24</v>
      </c>
    </row>
    <row r="45" spans="1:6" x14ac:dyDescent="0.3">
      <c r="A45" s="7" t="s">
        <v>151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" t="str">
        <f t="shared" si="4"/>
        <v>24</v>
      </c>
    </row>
    <row r="46" spans="1:6" x14ac:dyDescent="0.3">
      <c r="A46" s="7" t="s">
        <v>113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" t="str">
        <f t="shared" si="4"/>
        <v>24</v>
      </c>
    </row>
    <row r="47" spans="1:6" x14ac:dyDescent="0.3">
      <c r="A47" s="7" t="s">
        <v>114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" t="str">
        <f t="shared" si="4"/>
        <v>24</v>
      </c>
    </row>
    <row r="48" spans="1:6" x14ac:dyDescent="0.3">
      <c r="A48" s="7" t="s">
        <v>115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" t="str">
        <f t="shared" si="4"/>
        <v>24</v>
      </c>
    </row>
    <row r="49" spans="1:6" x14ac:dyDescent="0.3">
      <c r="A49" s="7" t="s">
        <v>116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" t="str">
        <f t="shared" si="4"/>
        <v>24</v>
      </c>
    </row>
    <row r="50" spans="1:6" x14ac:dyDescent="0.3">
      <c r="A50" s="7" t="s">
        <v>117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" t="str">
        <f t="shared" si="4"/>
        <v>24</v>
      </c>
    </row>
    <row r="51" spans="1:6" x14ac:dyDescent="0.3">
      <c r="A51" s="7" t="s">
        <v>118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" t="str">
        <f t="shared" si="4"/>
        <v>24</v>
      </c>
    </row>
    <row r="52" spans="1:6" x14ac:dyDescent="0.3">
      <c r="A52" s="7" t="s">
        <v>119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" t="str">
        <f t="shared" si="4"/>
        <v>24</v>
      </c>
    </row>
    <row r="53" spans="1:6" x14ac:dyDescent="0.3">
      <c r="A53" s="7" t="s">
        <v>120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" t="str">
        <f t="shared" si="4"/>
        <v>24</v>
      </c>
    </row>
    <row r="54" spans="1:6" x14ac:dyDescent="0.3">
      <c r="A54" s="8" t="s">
        <v>121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5" ht="21" x14ac:dyDescent="0.4">
      <c r="A1" s="39" t="s">
        <v>85</v>
      </c>
      <c r="B1" s="38" t="s">
        <v>168</v>
      </c>
    </row>
    <row r="2" spans="1:5" ht="18" x14ac:dyDescent="0.35">
      <c r="B2" s="37" t="s">
        <v>167</v>
      </c>
    </row>
    <row r="5" spans="1:5" ht="14.4" x14ac:dyDescent="0.3">
      <c r="B5" s="1" t="s">
        <v>152</v>
      </c>
    </row>
    <row r="6" spans="1:5" ht="14.4" x14ac:dyDescent="0.3">
      <c r="A6" s="3" t="s">
        <v>53</v>
      </c>
      <c r="B6" s="1" t="s">
        <v>179</v>
      </c>
    </row>
    <row r="7" spans="1:5" ht="14.4" x14ac:dyDescent="0.3">
      <c r="A7" s="3" t="s">
        <v>154</v>
      </c>
      <c r="B7" s="1" t="s">
        <v>180</v>
      </c>
    </row>
    <row r="10" spans="1:5" ht="23.4" x14ac:dyDescent="0.45">
      <c r="A10" s="16" t="s">
        <v>163</v>
      </c>
    </row>
    <row r="11" spans="1:5" ht="14.4" x14ac:dyDescent="0.3">
      <c r="A11" s="29" t="s">
        <v>86</v>
      </c>
      <c r="B11" s="15" t="s">
        <v>87</v>
      </c>
      <c r="C11" s="15" t="s">
        <v>88</v>
      </c>
    </row>
    <row r="12" spans="1:5" ht="14.4" x14ac:dyDescent="0.3">
      <c r="A12" s="29">
        <v>44927</v>
      </c>
      <c r="B12" s="15" t="s">
        <v>59</v>
      </c>
      <c r="C12" s="15">
        <v>200</v>
      </c>
    </row>
    <row r="13" spans="1:5" ht="14.4" x14ac:dyDescent="0.3">
      <c r="A13" s="29">
        <v>44928</v>
      </c>
      <c r="B13" s="15" t="s">
        <v>60</v>
      </c>
      <c r="C13" s="48">
        <v>20</v>
      </c>
    </row>
    <row r="14" spans="1:5" ht="14.4" x14ac:dyDescent="0.3">
      <c r="A14" s="29">
        <v>44929</v>
      </c>
      <c r="B14" s="15" t="s">
        <v>61</v>
      </c>
      <c r="C14" s="15">
        <v>50</v>
      </c>
      <c r="E14" s="49" t="str">
        <f>REPLACE("#N/A",1,4,"20")</f>
        <v>20</v>
      </c>
    </row>
    <row r="15" spans="1:5" ht="14.4" x14ac:dyDescent="0.3">
      <c r="A15" s="29">
        <v>44930</v>
      </c>
      <c r="B15" s="15" t="s">
        <v>62</v>
      </c>
      <c r="C15" s="48">
        <v>20</v>
      </c>
    </row>
    <row r="16" spans="1:5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155</v>
      </c>
      <c r="C17" s="15">
        <v>150</v>
      </c>
    </row>
    <row r="18" spans="1:3" ht="14.4" x14ac:dyDescent="0.3">
      <c r="A18" s="29">
        <v>44933</v>
      </c>
      <c r="B18" s="15" t="s">
        <v>156</v>
      </c>
      <c r="C18" s="15">
        <v>80</v>
      </c>
    </row>
    <row r="19" spans="1:3" ht="14.4" x14ac:dyDescent="0.3">
      <c r="A19" s="29">
        <v>44934</v>
      </c>
      <c r="B19" s="15" t="s">
        <v>157</v>
      </c>
      <c r="C19" s="48">
        <v>20</v>
      </c>
    </row>
    <row r="20" spans="1:3" ht="14.4" x14ac:dyDescent="0.3">
      <c r="A20" s="29">
        <v>44935</v>
      </c>
      <c r="B20" s="15" t="s">
        <v>158</v>
      </c>
      <c r="C20" s="15">
        <v>30</v>
      </c>
    </row>
    <row r="21" spans="1:3" ht="14.4" x14ac:dyDescent="0.3">
      <c r="A21" s="29">
        <v>44936</v>
      </c>
      <c r="B21" s="15" t="s">
        <v>159</v>
      </c>
      <c r="C21" s="48">
        <v>20</v>
      </c>
    </row>
    <row r="22" spans="1:3" ht="14.4" x14ac:dyDescent="0.3">
      <c r="B22" s="15" t="s">
        <v>160</v>
      </c>
      <c r="C22" s="47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15" sqref="L1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176</v>
      </c>
    </row>
    <row r="3" spans="1:14" ht="14.4" x14ac:dyDescent="0.3">
      <c r="B3" s="1" t="s">
        <v>152</v>
      </c>
    </row>
    <row r="4" spans="1:14" ht="18" x14ac:dyDescent="0.35">
      <c r="A4" s="40" t="s">
        <v>53</v>
      </c>
      <c r="B4" s="1"/>
    </row>
    <row r="5" spans="1:14" ht="18" x14ac:dyDescent="0.35">
      <c r="A5" s="40" t="s">
        <v>154</v>
      </c>
      <c r="B5" s="1"/>
    </row>
    <row r="6" spans="1:14" ht="14.4" x14ac:dyDescent="0.3">
      <c r="A6" s="3"/>
      <c r="B6" s="1"/>
    </row>
    <row r="8" spans="1:14" ht="23.4" x14ac:dyDescent="0.45">
      <c r="A8" s="16" t="s">
        <v>163</v>
      </c>
      <c r="M8" s="16" t="s">
        <v>164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169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/>
    </row>
    <row r="24" spans="1:14" ht="14.4" x14ac:dyDescent="0.3">
      <c r="A24" s="7">
        <v>10100</v>
      </c>
      <c r="B24" s="10">
        <v>10104</v>
      </c>
      <c r="C24" s="41"/>
    </row>
    <row r="25" spans="1:14" ht="14.4" x14ac:dyDescent="0.3">
      <c r="A25" s="7">
        <v>10108</v>
      </c>
      <c r="B25" s="10">
        <v>10102</v>
      </c>
      <c r="C25" s="41"/>
    </row>
    <row r="26" spans="1:14" ht="14.4" x14ac:dyDescent="0.3">
      <c r="A26" s="7">
        <v>10100</v>
      </c>
      <c r="B26" s="10">
        <v>10106</v>
      </c>
      <c r="C26" s="41"/>
    </row>
    <row r="27" spans="1:14" ht="14.4" x14ac:dyDescent="0.3">
      <c r="A27" s="7">
        <v>10108</v>
      </c>
      <c r="B27" s="10">
        <v>10110</v>
      </c>
      <c r="C27" s="41"/>
    </row>
    <row r="28" spans="1:14" ht="14.4" x14ac:dyDescent="0.3">
      <c r="A28" s="7">
        <v>10102</v>
      </c>
      <c r="B28" s="10">
        <v>10104</v>
      </c>
      <c r="C28" s="41"/>
    </row>
    <row r="29" spans="1:14" ht="14.4" x14ac:dyDescent="0.3">
      <c r="A29" s="7">
        <v>10106</v>
      </c>
      <c r="B29" s="10">
        <v>10108</v>
      </c>
      <c r="C29" s="41"/>
    </row>
    <row r="30" spans="1:14" ht="14.4" x14ac:dyDescent="0.3">
      <c r="A30" s="7">
        <v>10102</v>
      </c>
      <c r="B30" s="10">
        <v>10106</v>
      </c>
      <c r="C30" s="41"/>
    </row>
    <row r="31" spans="1:14" ht="14.4" x14ac:dyDescent="0.3">
      <c r="A31" s="7">
        <v>10110</v>
      </c>
      <c r="B31" s="10">
        <v>10114</v>
      </c>
      <c r="C31" s="41"/>
    </row>
    <row r="32" spans="1:14" ht="14.4" x14ac:dyDescent="0.3">
      <c r="A32" s="7">
        <v>10104</v>
      </c>
      <c r="B32" s="10">
        <v>10106</v>
      </c>
      <c r="C32" s="41"/>
    </row>
    <row r="33" spans="1:3" ht="14.4" x14ac:dyDescent="0.3">
      <c r="A33" s="7">
        <v>10110</v>
      </c>
      <c r="B33" s="10">
        <v>10112</v>
      </c>
      <c r="C33" s="41"/>
    </row>
    <row r="34" spans="1:3" ht="14.4" x14ac:dyDescent="0.3">
      <c r="A34" s="7">
        <v>10100</v>
      </c>
      <c r="B34" s="10">
        <v>10114</v>
      </c>
      <c r="C34" s="41"/>
    </row>
    <row r="35" spans="1:3" ht="14.4" x14ac:dyDescent="0.3">
      <c r="A35" s="8">
        <v>10112</v>
      </c>
      <c r="B35" s="11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  Shambhavi</cp:lastModifiedBy>
  <dcterms:created xsi:type="dcterms:W3CDTF">2015-02-10T17:33:11Z</dcterms:created>
  <dcterms:modified xsi:type="dcterms:W3CDTF">2023-12-10T20:31:46Z</dcterms:modified>
</cp:coreProperties>
</file>